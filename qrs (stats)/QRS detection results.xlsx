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patient 7" sheetId="2" r:id="rId6"/>
  </sheets>
  <definedNames/>
  <calcPr/>
</workbook>
</file>

<file path=xl/sharedStrings.xml><?xml version="1.0" encoding="utf-8"?>
<sst xmlns="http://schemas.openxmlformats.org/spreadsheetml/2006/main" count="79" uniqueCount="46">
  <si>
    <t>1 afv</t>
  </si>
  <si>
    <t>1 ivc</t>
  </si>
  <si>
    <t>1 svc</t>
  </si>
  <si>
    <t>1 tva</t>
  </si>
  <si>
    <t>mean</t>
  </si>
  <si>
    <t>dev.std</t>
  </si>
  <si>
    <t>ms window</t>
  </si>
  <si>
    <t>f1 scores</t>
  </si>
  <si>
    <t>Beat not found</t>
  </si>
  <si>
    <t>2 afv</t>
  </si>
  <si>
    <t>2 ivc</t>
  </si>
  <si>
    <t>2 svc</t>
  </si>
  <si>
    <t>2 tva</t>
  </si>
  <si>
    <t>3 afv</t>
  </si>
  <si>
    <t>3 ivc</t>
  </si>
  <si>
    <t>3 svc</t>
  </si>
  <si>
    <t>3 tva</t>
  </si>
  <si>
    <t>4 afv</t>
  </si>
  <si>
    <t>4 ivc</t>
  </si>
  <si>
    <t>4 svc</t>
  </si>
  <si>
    <t>4 tva</t>
  </si>
  <si>
    <t>5 afv</t>
  </si>
  <si>
    <t>5 ivc</t>
  </si>
  <si>
    <t>5 svc</t>
  </si>
  <si>
    <t>5 tva</t>
  </si>
  <si>
    <t>6 afv</t>
  </si>
  <si>
    <t>6 ivc</t>
  </si>
  <si>
    <t>6 svc</t>
  </si>
  <si>
    <t>6 tva</t>
  </si>
  <si>
    <t>7 afv</t>
  </si>
  <si>
    <t>7 ivc</t>
  </si>
  <si>
    <t>7 svc</t>
  </si>
  <si>
    <t>7 tva</t>
  </si>
  <si>
    <t>8 afv</t>
  </si>
  <si>
    <t>8 ivc</t>
  </si>
  <si>
    <t>8 svc</t>
  </si>
  <si>
    <t>8 tva</t>
  </si>
  <si>
    <t>dev std</t>
  </si>
  <si>
    <t>WITHOUT patient n°7</t>
  </si>
  <si>
    <t>window ms</t>
  </si>
  <si>
    <t>MEAN (f1)</t>
  </si>
  <si>
    <t>Devst</t>
  </si>
  <si>
    <t>tva</t>
  </si>
  <si>
    <t>ivc</t>
  </si>
  <si>
    <t>svc</t>
  </si>
  <si>
    <t>afw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</si>
</sst>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000000"/>
      <name val="Arial"/>
      <scheme val="minor"/>
    </font>
    <font>
      <color rgb="FF000000"/>
      <name val="Arial"/>
    </font>
    <font>
      <sz val="11.0"/>
      <color rgb="FF000000"/>
      <name val="Consolas"/>
    </font>
    <font>
      <color theme="1"/>
      <name val="Arial"/>
      <scheme val="minor"/>
    </font>
    <font/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2" fontId="2" numFmtId="0" xfId="0" applyAlignment="1" applyBorder="1" applyFont="1">
      <alignment readingOrder="0" vertical="bottom"/>
    </xf>
    <xf borderId="1" fillId="2" fontId="1" numFmtId="9" xfId="0" applyAlignment="1" applyBorder="1" applyFont="1" applyNumberFormat="1">
      <alignment readingOrder="0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3" numFmtId="10" xfId="0" applyAlignment="1" applyBorder="1" applyFont="1" applyNumberFormat="1">
      <alignment readingOrder="0"/>
    </xf>
    <xf borderId="1" fillId="0" fontId="1" numFmtId="10" xfId="0" applyBorder="1" applyFont="1" applyNumberFormat="1"/>
    <xf borderId="1" fillId="0" fontId="1" numFmtId="0" xfId="0" applyBorder="1" applyFont="1"/>
    <xf borderId="1" fillId="0" fontId="1" numFmtId="9" xfId="0" applyAlignment="1" applyBorder="1" applyFont="1" applyNumberFormat="1">
      <alignment readingOrder="0"/>
    </xf>
    <xf borderId="1" fillId="0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1" fillId="2" fontId="2" numFmtId="0" xfId="0" applyAlignment="1" applyBorder="1" applyFont="1">
      <alignment vertical="bottom"/>
    </xf>
    <xf borderId="1" fillId="2" fontId="2" numFmtId="9" xfId="0" applyAlignment="1" applyBorder="1" applyFont="1" applyNumberFormat="1">
      <alignment vertical="bottom"/>
    </xf>
    <xf borderId="1" fillId="0" fontId="3" numFmtId="10" xfId="0" applyAlignment="1" applyBorder="1" applyFont="1" applyNumberFormat="1">
      <alignment readingOrder="0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readingOrder="0"/>
    </xf>
    <xf borderId="0" fillId="0" fontId="2" numFmtId="9" xfId="0" applyAlignment="1" applyFont="1" applyNumberFormat="1">
      <alignment vertical="bottom"/>
    </xf>
    <xf borderId="0" fillId="0" fontId="3" numFmtId="0" xfId="0" applyAlignment="1" applyFont="1">
      <alignment vertical="bottom"/>
    </xf>
    <xf borderId="1" fillId="2" fontId="1" numFmtId="10" xfId="0" applyBorder="1" applyFont="1" applyNumberFormat="1"/>
    <xf borderId="0" fillId="0" fontId="3" numFmtId="10" xfId="0" applyAlignment="1" applyFont="1" applyNumberFormat="1">
      <alignment readingOrder="0"/>
    </xf>
    <xf borderId="0" fillId="0" fontId="4" numFmtId="10" xfId="0" applyFont="1" applyNumberFormat="1"/>
    <xf borderId="2" fillId="3" fontId="4" numFmtId="0" xfId="0" applyAlignment="1" applyBorder="1" applyFill="1" applyFont="1">
      <alignment horizontal="center" readingOrder="0"/>
    </xf>
    <xf borderId="3" fillId="0" fontId="5" numFmtId="0" xfId="0" applyBorder="1" applyFont="1"/>
    <xf borderId="4" fillId="0" fontId="5" numFmtId="0" xfId="0" applyBorder="1" applyFont="1"/>
    <xf borderId="1" fillId="0" fontId="4" numFmtId="0" xfId="0" applyAlignment="1" applyBorder="1" applyFont="1">
      <alignment readingOrder="0"/>
    </xf>
    <xf borderId="1" fillId="0" fontId="6" numFmtId="0" xfId="0" applyAlignment="1" applyBorder="1" applyFont="1">
      <alignment horizontal="right" vertical="bottom"/>
    </xf>
    <xf borderId="1" fillId="0" fontId="4" numFmtId="10" xfId="0" applyBorder="1" applyFont="1" applyNumberFormat="1"/>
    <xf borderId="0" fillId="4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MEAN e Devst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results!$B$97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results!$A$98:$A$103</c:f>
            </c:strRef>
          </c:cat>
          <c:val>
            <c:numRef>
              <c:f>results!$B$98:$B$103</c:f>
              <c:numCache/>
            </c:numRef>
          </c:val>
        </c:ser>
        <c:ser>
          <c:idx val="1"/>
          <c:order val="1"/>
          <c:tx>
            <c:strRef>
              <c:f>results!$C$97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results!$A$98:$A$103</c:f>
            </c:strRef>
          </c:cat>
          <c:val>
            <c:numRef>
              <c:f>results!$C$98:$C$103</c:f>
              <c:numCache/>
            </c:numRef>
          </c:val>
        </c:ser>
        <c:axId val="1210512041"/>
        <c:axId val="1478250310"/>
      </c:barChart>
      <c:catAx>
        <c:axId val="12105120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8250310"/>
      </c:catAx>
      <c:valAx>
        <c:axId val="14782503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05120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94</xdr:row>
      <xdr:rowOff>171450</xdr:rowOff>
    </xdr:from>
    <xdr:ext cx="5172075" cy="3200400"/>
    <xdr:graphicFrame>
      <xdr:nvGraphicFramePr>
        <xdr:cNvPr id="1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104775</xdr:rowOff>
    </xdr:from>
    <xdr:ext cx="6867525" cy="4371975"/>
    <xdr:pic>
      <xdr:nvPicPr>
        <xdr:cNvPr id="0" name="image3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2</xdr:row>
      <xdr:rowOff>104775</xdr:rowOff>
    </xdr:from>
    <xdr:ext cx="7134225" cy="4343400"/>
    <xdr:pic>
      <xdr:nvPicPr>
        <xdr:cNvPr id="0" name="image4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38100</xdr:rowOff>
    </xdr:from>
    <xdr:ext cx="7134225" cy="4467225"/>
    <xdr:pic>
      <xdr:nvPicPr>
        <xdr:cNvPr id="0" name="image1.png" title="Immagin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457200</xdr:colOff>
      <xdr:row>28</xdr:row>
      <xdr:rowOff>38100</xdr:rowOff>
    </xdr:from>
    <xdr:ext cx="7134225" cy="4467225"/>
    <xdr:pic>
      <xdr:nvPicPr>
        <xdr:cNvPr id="0" name="image2.png" title="Immagin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0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2"/>
      <c r="B2" s="2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</row>
    <row r="3">
      <c r="A3" s="4" t="s">
        <v>6</v>
      </c>
      <c r="B3" s="3" t="s">
        <v>7</v>
      </c>
      <c r="C3" s="2"/>
      <c r="D3" s="5"/>
      <c r="E3" s="2"/>
      <c r="F3" s="2"/>
      <c r="G3" s="2"/>
      <c r="H3" s="2"/>
    </row>
    <row r="4">
      <c r="A4" s="6">
        <v>25.0</v>
      </c>
      <c r="B4" s="7"/>
      <c r="C4" s="8">
        <v>0.2318</v>
      </c>
      <c r="D4" s="8">
        <v>0.254</v>
      </c>
      <c r="E4" s="8">
        <v>0.2449</v>
      </c>
      <c r="F4" s="8">
        <v>0.1733</v>
      </c>
      <c r="G4" s="9">
        <f t="shared" ref="G4:G9" si="1">(C4+D4+E4+F4)/4</f>
        <v>0.226</v>
      </c>
      <c r="H4" s="9">
        <f t="shared" ref="H4:H9" si="2">STDEV(C4:F4)</f>
        <v>0.03629572978</v>
      </c>
    </row>
    <row r="5">
      <c r="A5" s="6">
        <v>30.0</v>
      </c>
      <c r="B5" s="7"/>
      <c r="C5" s="8">
        <v>0.9704</v>
      </c>
      <c r="D5" s="8">
        <v>0.9841</v>
      </c>
      <c r="E5" s="8">
        <v>0.9252</v>
      </c>
      <c r="F5" s="8">
        <v>1.0</v>
      </c>
      <c r="G5" s="9">
        <f t="shared" si="1"/>
        <v>0.969925</v>
      </c>
      <c r="H5" s="9">
        <f t="shared" si="2"/>
        <v>0.0321765313</v>
      </c>
    </row>
    <row r="6">
      <c r="A6" s="6">
        <v>35.0</v>
      </c>
      <c r="B6" s="7"/>
      <c r="C6" s="8">
        <v>0.9704</v>
      </c>
      <c r="D6" s="8">
        <v>0.9841</v>
      </c>
      <c r="E6" s="8">
        <v>0.9388</v>
      </c>
      <c r="F6" s="8">
        <v>1.0</v>
      </c>
      <c r="G6" s="9">
        <f t="shared" si="1"/>
        <v>0.973325</v>
      </c>
      <c r="H6" s="9">
        <f t="shared" si="2"/>
        <v>0.0260012019</v>
      </c>
    </row>
    <row r="7">
      <c r="A7" s="6">
        <v>40.0</v>
      </c>
      <c r="B7" s="7"/>
      <c r="C7" s="8">
        <v>0.9704</v>
      </c>
      <c r="D7" s="8">
        <v>0.9841</v>
      </c>
      <c r="E7" s="8">
        <v>0.9524</v>
      </c>
      <c r="F7" s="8">
        <v>1.0</v>
      </c>
      <c r="G7" s="9">
        <f t="shared" si="1"/>
        <v>0.976725</v>
      </c>
      <c r="H7" s="9">
        <f t="shared" si="2"/>
        <v>0.02023056681</v>
      </c>
    </row>
    <row r="8">
      <c r="A8" s="6">
        <v>50.0</v>
      </c>
      <c r="B8" s="7"/>
      <c r="C8" s="8">
        <v>0.9704</v>
      </c>
      <c r="D8" s="8">
        <v>0.9841</v>
      </c>
      <c r="E8" s="8">
        <v>0.9524</v>
      </c>
      <c r="F8" s="8">
        <v>1.0</v>
      </c>
      <c r="G8" s="9">
        <f t="shared" si="1"/>
        <v>0.976725</v>
      </c>
      <c r="H8" s="9">
        <f t="shared" si="2"/>
        <v>0.02023056681</v>
      </c>
    </row>
    <row r="9">
      <c r="A9" s="6">
        <v>60.0</v>
      </c>
      <c r="B9" s="7"/>
      <c r="C9" s="8">
        <v>0.9704</v>
      </c>
      <c r="D9" s="8">
        <v>0.9841</v>
      </c>
      <c r="E9" s="8">
        <v>0.9524</v>
      </c>
      <c r="F9" s="8">
        <v>1.0</v>
      </c>
      <c r="G9" s="9">
        <f t="shared" si="1"/>
        <v>0.976725</v>
      </c>
      <c r="H9" s="9">
        <f t="shared" si="2"/>
        <v>0.02023056681</v>
      </c>
    </row>
    <row r="10">
      <c r="A10" s="6"/>
      <c r="B10" s="10"/>
      <c r="C10" s="10"/>
      <c r="D10" s="11"/>
      <c r="E10" s="10"/>
      <c r="F10" s="10"/>
      <c r="G10" s="10"/>
      <c r="H10" s="10"/>
    </row>
    <row r="11">
      <c r="A11" s="12" t="s">
        <v>8</v>
      </c>
      <c r="B11" s="10"/>
      <c r="C11" s="13">
        <v>9.0</v>
      </c>
      <c r="D11" s="13">
        <v>2.0</v>
      </c>
      <c r="E11" s="13">
        <v>4.0</v>
      </c>
      <c r="F11" s="13">
        <v>0.0</v>
      </c>
      <c r="G11" s="10"/>
      <c r="H11" s="10"/>
    </row>
    <row r="12">
      <c r="A12" s="14"/>
      <c r="B12" s="15"/>
      <c r="C12" s="16"/>
      <c r="D12" s="16"/>
      <c r="E12" s="16"/>
      <c r="F12" s="16"/>
      <c r="G12" s="1"/>
      <c r="H12" s="1"/>
    </row>
    <row r="13">
      <c r="A13" s="17"/>
      <c r="B13" s="17"/>
      <c r="C13" s="4" t="s">
        <v>9</v>
      </c>
      <c r="D13" s="4" t="s">
        <v>10</v>
      </c>
      <c r="E13" s="4" t="s">
        <v>11</v>
      </c>
      <c r="F13" s="4" t="s">
        <v>12</v>
      </c>
      <c r="G13" s="3" t="s">
        <v>4</v>
      </c>
      <c r="H13" s="3" t="s">
        <v>5</v>
      </c>
    </row>
    <row r="14">
      <c r="A14" s="4" t="s">
        <v>6</v>
      </c>
      <c r="B14" s="3" t="s">
        <v>7</v>
      </c>
      <c r="C14" s="17"/>
      <c r="D14" s="18"/>
      <c r="E14" s="17"/>
      <c r="F14" s="17"/>
      <c r="G14" s="2"/>
      <c r="H14" s="2"/>
    </row>
    <row r="15">
      <c r="A15" s="6">
        <v>25.0</v>
      </c>
      <c r="B15" s="7"/>
      <c r="C15" s="19">
        <v>0.1173</v>
      </c>
      <c r="D15" s="8">
        <v>0.1244</v>
      </c>
      <c r="E15" s="8">
        <v>0.1687</v>
      </c>
      <c r="F15" s="8">
        <v>0.1458</v>
      </c>
      <c r="G15" s="9">
        <f t="shared" ref="G15:G20" si="3">(C15+D15+E15+F15)/4</f>
        <v>0.13905</v>
      </c>
      <c r="H15" s="9">
        <f t="shared" ref="H15:H20" si="4">STDEV(C15:F15)</f>
        <v>0.02318311167</v>
      </c>
    </row>
    <row r="16">
      <c r="A16" s="6">
        <v>30.0</v>
      </c>
      <c r="B16" s="7"/>
      <c r="C16" s="19">
        <v>0.3743</v>
      </c>
      <c r="D16" s="8">
        <v>0.4593</v>
      </c>
      <c r="E16" s="8">
        <v>0.3855</v>
      </c>
      <c r="F16" s="8">
        <v>0.5833</v>
      </c>
      <c r="G16" s="9">
        <f t="shared" si="3"/>
        <v>0.4506</v>
      </c>
      <c r="H16" s="9">
        <f t="shared" si="4"/>
        <v>0.09616770075</v>
      </c>
    </row>
    <row r="17">
      <c r="A17" s="6">
        <v>35.0</v>
      </c>
      <c r="B17" s="7"/>
      <c r="C17" s="19">
        <v>0.7654</v>
      </c>
      <c r="D17" s="8">
        <v>0.8995</v>
      </c>
      <c r="E17" s="8">
        <v>0.8795</v>
      </c>
      <c r="F17" s="8">
        <v>0.9167</v>
      </c>
      <c r="G17" s="9">
        <f t="shared" si="3"/>
        <v>0.865275</v>
      </c>
      <c r="H17" s="9">
        <f t="shared" si="4"/>
        <v>0.06829652871</v>
      </c>
    </row>
    <row r="18">
      <c r="A18" s="6">
        <v>40.0</v>
      </c>
      <c r="B18" s="7"/>
      <c r="C18" s="19">
        <v>0.8575</v>
      </c>
      <c r="D18" s="19">
        <v>0.9374</v>
      </c>
      <c r="E18" s="8">
        <v>0.9398</v>
      </c>
      <c r="F18" s="8">
        <v>0.9583</v>
      </c>
      <c r="G18" s="9">
        <f t="shared" si="3"/>
        <v>0.92325</v>
      </c>
      <c r="H18" s="9">
        <f t="shared" si="4"/>
        <v>0.04481699826</v>
      </c>
    </row>
    <row r="19">
      <c r="A19" s="6">
        <v>50.0</v>
      </c>
      <c r="B19" s="7"/>
      <c r="C19" s="19">
        <v>0.8799</v>
      </c>
      <c r="D19" s="19">
        <v>0.9474</v>
      </c>
      <c r="E19" s="8">
        <v>0.9518</v>
      </c>
      <c r="F19" s="8">
        <v>0.9583</v>
      </c>
      <c r="G19" s="9">
        <f t="shared" si="3"/>
        <v>0.93435</v>
      </c>
      <c r="H19" s="9">
        <f t="shared" si="4"/>
        <v>0.03657508259</v>
      </c>
    </row>
    <row r="20">
      <c r="A20" s="6">
        <v>60.0</v>
      </c>
      <c r="B20" s="7"/>
      <c r="C20" s="19">
        <v>0.8799</v>
      </c>
      <c r="D20" s="19">
        <v>0.9474</v>
      </c>
      <c r="E20" s="8">
        <v>0.9518</v>
      </c>
      <c r="F20" s="8">
        <v>0.9583</v>
      </c>
      <c r="G20" s="9">
        <f t="shared" si="3"/>
        <v>0.93435</v>
      </c>
      <c r="H20" s="9">
        <f t="shared" si="4"/>
        <v>0.03657508259</v>
      </c>
    </row>
    <row r="21">
      <c r="A21" s="6"/>
      <c r="B21" s="7"/>
      <c r="C21" s="20"/>
      <c r="D21" s="20"/>
      <c r="E21" s="21"/>
      <c r="F21" s="21"/>
      <c r="G21" s="10"/>
      <c r="H21" s="10"/>
    </row>
    <row r="22">
      <c r="A22" s="12" t="s">
        <v>8</v>
      </c>
      <c r="B22" s="7"/>
      <c r="C22" s="22">
        <v>28.0</v>
      </c>
      <c r="D22" s="22">
        <v>5.0</v>
      </c>
      <c r="E22" s="22">
        <v>2.0</v>
      </c>
      <c r="F22" s="23">
        <v>1.0</v>
      </c>
      <c r="G22" s="10"/>
      <c r="H22" s="10"/>
    </row>
    <row r="23">
      <c r="A23" s="15"/>
      <c r="B23" s="15"/>
      <c r="C23" s="15"/>
      <c r="D23" s="24"/>
      <c r="E23" s="15"/>
      <c r="F23" s="15"/>
      <c r="G23" s="1"/>
      <c r="H23" s="1"/>
    </row>
    <row r="24">
      <c r="A24" s="17"/>
      <c r="B24" s="17"/>
      <c r="C24" s="4" t="s">
        <v>13</v>
      </c>
      <c r="D24" s="4" t="s">
        <v>14</v>
      </c>
      <c r="E24" s="4" t="s">
        <v>15</v>
      </c>
      <c r="F24" s="4" t="s">
        <v>16</v>
      </c>
      <c r="G24" s="3" t="s">
        <v>4</v>
      </c>
      <c r="H24" s="3" t="s">
        <v>5</v>
      </c>
    </row>
    <row r="25">
      <c r="A25" s="4" t="s">
        <v>6</v>
      </c>
      <c r="B25" s="3" t="s">
        <v>7</v>
      </c>
      <c r="C25" s="17"/>
      <c r="D25" s="18"/>
      <c r="E25" s="17"/>
      <c r="F25" s="17"/>
      <c r="G25" s="2"/>
      <c r="H25" s="2"/>
    </row>
    <row r="26">
      <c r="A26" s="6">
        <v>25.0</v>
      </c>
      <c r="B26" s="7"/>
      <c r="C26" s="8">
        <v>0.7583</v>
      </c>
      <c r="D26" s="8">
        <v>0.6623</v>
      </c>
      <c r="E26" s="8">
        <v>0.6609</v>
      </c>
      <c r="F26" s="8">
        <v>0.6667</v>
      </c>
      <c r="G26" s="9">
        <f t="shared" ref="G26:G31" si="5">AVERAGE(C26:F26)</f>
        <v>0.68705</v>
      </c>
      <c r="H26" s="9">
        <f t="shared" ref="H26:H31" si="6">STDEV(C26:F26)</f>
        <v>0.04756423727</v>
      </c>
    </row>
    <row r="27">
      <c r="A27" s="6">
        <v>30.0</v>
      </c>
      <c r="B27" s="7"/>
      <c r="C27" s="8">
        <v>0.999</v>
      </c>
      <c r="D27" s="8">
        <v>0.987</v>
      </c>
      <c r="E27" s="8">
        <v>0.9871</v>
      </c>
      <c r="F27" s="8">
        <v>0.991</v>
      </c>
      <c r="G27" s="9">
        <f t="shared" si="5"/>
        <v>0.991025</v>
      </c>
      <c r="H27" s="9">
        <f t="shared" si="6"/>
        <v>0.005633456606</v>
      </c>
    </row>
    <row r="28">
      <c r="A28" s="6">
        <v>35.0</v>
      </c>
      <c r="B28" s="7"/>
      <c r="C28" s="8">
        <v>0.999</v>
      </c>
      <c r="D28" s="8">
        <v>0.987</v>
      </c>
      <c r="E28" s="8">
        <v>0.9871</v>
      </c>
      <c r="F28" s="8">
        <v>0.991</v>
      </c>
      <c r="G28" s="9">
        <f t="shared" si="5"/>
        <v>0.991025</v>
      </c>
      <c r="H28" s="9">
        <f t="shared" si="6"/>
        <v>0.005633456606</v>
      </c>
    </row>
    <row r="29">
      <c r="A29" s="6">
        <v>40.0</v>
      </c>
      <c r="B29" s="7"/>
      <c r="C29" s="8">
        <v>0.999</v>
      </c>
      <c r="D29" s="8">
        <v>0.987</v>
      </c>
      <c r="E29" s="8">
        <v>0.9871</v>
      </c>
      <c r="F29" s="8">
        <v>0.991</v>
      </c>
      <c r="G29" s="9">
        <f t="shared" si="5"/>
        <v>0.991025</v>
      </c>
      <c r="H29" s="9">
        <f t="shared" si="6"/>
        <v>0.005633456606</v>
      </c>
    </row>
    <row r="30">
      <c r="A30" s="6">
        <v>50.0</v>
      </c>
      <c r="B30" s="7"/>
      <c r="C30" s="8">
        <v>0.999</v>
      </c>
      <c r="D30" s="8">
        <v>0.987</v>
      </c>
      <c r="E30" s="8">
        <v>0.9871</v>
      </c>
      <c r="F30" s="8">
        <v>0.991</v>
      </c>
      <c r="G30" s="9">
        <f t="shared" si="5"/>
        <v>0.991025</v>
      </c>
      <c r="H30" s="9">
        <f t="shared" si="6"/>
        <v>0.005633456606</v>
      </c>
    </row>
    <row r="31">
      <c r="A31" s="6">
        <v>60.0</v>
      </c>
      <c r="B31" s="7"/>
      <c r="C31" s="8">
        <v>0.999</v>
      </c>
      <c r="D31" s="8">
        <v>0.987</v>
      </c>
      <c r="E31" s="8">
        <v>0.9871</v>
      </c>
      <c r="F31" s="8">
        <v>0.991</v>
      </c>
      <c r="G31" s="9">
        <f t="shared" si="5"/>
        <v>0.991025</v>
      </c>
      <c r="H31" s="9">
        <f t="shared" si="6"/>
        <v>0.005633456606</v>
      </c>
    </row>
    <row r="32">
      <c r="A32" s="6"/>
      <c r="B32" s="7"/>
      <c r="C32" s="20"/>
      <c r="D32" s="20"/>
      <c r="E32" s="21"/>
      <c r="F32" s="21"/>
      <c r="G32" s="10"/>
      <c r="H32" s="10"/>
    </row>
    <row r="33">
      <c r="A33" s="12" t="s">
        <v>8</v>
      </c>
      <c r="B33" s="7"/>
      <c r="C33" s="22">
        <v>2.0</v>
      </c>
      <c r="D33" s="22">
        <v>2.0</v>
      </c>
      <c r="E33" s="22">
        <v>2.0</v>
      </c>
      <c r="F33" s="23">
        <v>1.0</v>
      </c>
      <c r="G33" s="10"/>
      <c r="H33" s="10"/>
    </row>
    <row r="34">
      <c r="A34" s="14"/>
      <c r="B34" s="15"/>
      <c r="C34" s="16"/>
      <c r="D34" s="16"/>
      <c r="E34" s="25"/>
      <c r="F34" s="25"/>
      <c r="G34" s="1"/>
      <c r="H34" s="1"/>
    </row>
    <row r="35">
      <c r="A35" s="14"/>
      <c r="B35" s="15"/>
      <c r="C35" s="16"/>
      <c r="D35" s="16"/>
      <c r="E35" s="25"/>
      <c r="F35" s="25"/>
      <c r="G35" s="1"/>
      <c r="H35" s="1"/>
    </row>
    <row r="36">
      <c r="A36" s="17"/>
      <c r="B36" s="17"/>
      <c r="C36" s="4" t="s">
        <v>17</v>
      </c>
      <c r="D36" s="4" t="s">
        <v>18</v>
      </c>
      <c r="E36" s="4" t="s">
        <v>19</v>
      </c>
      <c r="F36" s="4" t="s">
        <v>20</v>
      </c>
      <c r="G36" s="3" t="s">
        <v>4</v>
      </c>
      <c r="H36" s="3" t="s">
        <v>5</v>
      </c>
    </row>
    <row r="37">
      <c r="A37" s="4" t="s">
        <v>6</v>
      </c>
      <c r="B37" s="3" t="s">
        <v>7</v>
      </c>
      <c r="C37" s="17"/>
      <c r="D37" s="18"/>
      <c r="E37" s="17"/>
      <c r="F37" s="17"/>
      <c r="G37" s="2"/>
      <c r="H37" s="2"/>
    </row>
    <row r="38">
      <c r="A38" s="6">
        <v>25.0</v>
      </c>
      <c r="B38" s="7"/>
      <c r="C38" s="8">
        <v>0.8485</v>
      </c>
      <c r="D38" s="8">
        <v>0.75</v>
      </c>
      <c r="E38" s="8">
        <v>0.8657</v>
      </c>
      <c r="F38" s="8">
        <v>0.8857</v>
      </c>
      <c r="G38" s="9">
        <f t="shared" ref="G38:G43" si="7">(C38+D38+E38+F38)/4</f>
        <v>0.837475</v>
      </c>
      <c r="H38" s="9">
        <f t="shared" ref="H38:H43" si="8">STDEV(C38:F38)</f>
        <v>0.06026532309</v>
      </c>
    </row>
    <row r="39">
      <c r="A39" s="6">
        <v>30.0</v>
      </c>
      <c r="B39" s="7"/>
      <c r="C39" s="8">
        <v>0.8599</v>
      </c>
      <c r="D39" s="8">
        <v>0.75</v>
      </c>
      <c r="E39" s="8">
        <v>0.8657</v>
      </c>
      <c r="F39" s="8">
        <v>0.8857</v>
      </c>
      <c r="G39" s="9">
        <f t="shared" si="7"/>
        <v>0.840325</v>
      </c>
      <c r="H39" s="9">
        <f t="shared" si="8"/>
        <v>0.06122245639</v>
      </c>
    </row>
    <row r="40">
      <c r="A40" s="6">
        <v>35.0</v>
      </c>
      <c r="B40" s="7"/>
      <c r="C40" s="8">
        <v>0.8704</v>
      </c>
      <c r="D40" s="8">
        <v>0.75</v>
      </c>
      <c r="E40" s="8">
        <v>0.8657</v>
      </c>
      <c r="F40" s="8">
        <v>0.8857</v>
      </c>
      <c r="G40" s="9">
        <f t="shared" si="7"/>
        <v>0.84295</v>
      </c>
      <c r="H40" s="9">
        <f t="shared" si="8"/>
        <v>0.06255219154</v>
      </c>
    </row>
    <row r="41">
      <c r="A41" s="6">
        <v>40.0</v>
      </c>
      <c r="B41" s="7"/>
      <c r="C41" s="8">
        <v>0.887</v>
      </c>
      <c r="D41" s="8">
        <v>0.75</v>
      </c>
      <c r="E41" s="8">
        <v>0.8657</v>
      </c>
      <c r="F41" s="8">
        <v>0.8857</v>
      </c>
      <c r="G41" s="9">
        <f t="shared" si="7"/>
        <v>0.8471</v>
      </c>
      <c r="H41" s="9">
        <f t="shared" si="8"/>
        <v>0.06546332306</v>
      </c>
    </row>
    <row r="42">
      <c r="A42" s="6">
        <v>50.0</v>
      </c>
      <c r="B42" s="7"/>
      <c r="C42" s="8">
        <v>0.9081</v>
      </c>
      <c r="D42" s="8">
        <v>0.7778</v>
      </c>
      <c r="E42" s="8">
        <v>0.8657</v>
      </c>
      <c r="F42" s="8">
        <v>0.8857</v>
      </c>
      <c r="G42" s="9">
        <f t="shared" si="7"/>
        <v>0.859325</v>
      </c>
      <c r="H42" s="9">
        <f t="shared" si="8"/>
        <v>0.057042696</v>
      </c>
    </row>
    <row r="43">
      <c r="A43" s="6">
        <v>60.0</v>
      </c>
      <c r="B43" s="7"/>
      <c r="C43" s="8">
        <v>0.9308</v>
      </c>
      <c r="D43" s="8">
        <v>0.8611</v>
      </c>
      <c r="E43" s="8">
        <v>0.8657</v>
      </c>
      <c r="F43" s="8">
        <v>0.8857</v>
      </c>
      <c r="G43" s="9">
        <f t="shared" si="7"/>
        <v>0.885825</v>
      </c>
      <c r="H43" s="9">
        <f t="shared" si="8"/>
        <v>0.03182822385</v>
      </c>
    </row>
    <row r="44">
      <c r="A44" s="6"/>
      <c r="B44" s="7"/>
      <c r="C44" s="20"/>
      <c r="D44" s="20"/>
      <c r="E44" s="21"/>
      <c r="F44" s="20"/>
      <c r="G44" s="10"/>
      <c r="H44" s="10"/>
    </row>
    <row r="45">
      <c r="A45" s="12" t="s">
        <v>8</v>
      </c>
      <c r="B45" s="7"/>
      <c r="C45" s="22">
        <v>106.0</v>
      </c>
      <c r="D45" s="22">
        <v>1.0</v>
      </c>
      <c r="E45" s="22">
        <v>0.0</v>
      </c>
      <c r="F45" s="22">
        <v>0.0</v>
      </c>
      <c r="G45" s="10"/>
      <c r="H45" s="10"/>
    </row>
    <row r="46">
      <c r="A46" s="1"/>
      <c r="B46" s="1"/>
      <c r="C46" s="1"/>
      <c r="D46" s="1"/>
      <c r="E46" s="1"/>
      <c r="F46" s="1"/>
      <c r="G46" s="1"/>
      <c r="H46" s="1"/>
    </row>
    <row r="47">
      <c r="A47" s="1"/>
      <c r="B47" s="1"/>
      <c r="C47" s="1"/>
      <c r="D47" s="1"/>
      <c r="E47" s="1"/>
      <c r="F47" s="1"/>
      <c r="G47" s="1"/>
      <c r="H47" s="1"/>
    </row>
    <row r="48">
      <c r="A48" s="17"/>
      <c r="B48" s="17"/>
      <c r="C48" s="4" t="s">
        <v>21</v>
      </c>
      <c r="D48" s="4" t="s">
        <v>22</v>
      </c>
      <c r="E48" s="4" t="s">
        <v>23</v>
      </c>
      <c r="F48" s="4" t="s">
        <v>24</v>
      </c>
      <c r="G48" s="3" t="s">
        <v>4</v>
      </c>
      <c r="H48" s="3" t="s">
        <v>5</v>
      </c>
    </row>
    <row r="49">
      <c r="A49" s="4" t="s">
        <v>6</v>
      </c>
      <c r="B49" s="3" t="s">
        <v>7</v>
      </c>
      <c r="C49" s="17"/>
      <c r="D49" s="18"/>
      <c r="E49" s="17"/>
      <c r="F49" s="17"/>
      <c r="G49" s="2"/>
      <c r="H49" s="2"/>
    </row>
    <row r="50">
      <c r="A50" s="6">
        <v>25.0</v>
      </c>
      <c r="B50" s="7"/>
      <c r="C50" s="8">
        <v>0.9901</v>
      </c>
      <c r="D50" s="8">
        <v>0.9903</v>
      </c>
      <c r="E50" s="8">
        <v>0.9906</v>
      </c>
      <c r="F50" s="8">
        <v>0.9867</v>
      </c>
      <c r="G50" s="9">
        <f t="shared" ref="G50:G55" si="9">(C50+D50+E50+F50)/4</f>
        <v>0.989425</v>
      </c>
      <c r="H50" s="9">
        <f t="shared" ref="H50:H55" si="10">STDEV(C50:F50)</f>
        <v>0.00182825053</v>
      </c>
    </row>
    <row r="51">
      <c r="A51" s="6">
        <v>30.0</v>
      </c>
      <c r="B51" s="7"/>
      <c r="C51" s="8">
        <v>0.9901</v>
      </c>
      <c r="D51" s="8">
        <v>0.9903</v>
      </c>
      <c r="E51" s="8">
        <v>0.9906</v>
      </c>
      <c r="F51" s="8">
        <v>0.9867</v>
      </c>
      <c r="G51" s="9">
        <f t="shared" si="9"/>
        <v>0.989425</v>
      </c>
      <c r="H51" s="9">
        <f t="shared" si="10"/>
        <v>0.00182825053</v>
      </c>
    </row>
    <row r="52">
      <c r="A52" s="6">
        <v>35.0</v>
      </c>
      <c r="B52" s="7"/>
      <c r="C52" s="8">
        <v>0.9914</v>
      </c>
      <c r="D52" s="8">
        <v>0.9903</v>
      </c>
      <c r="E52" s="8">
        <v>0.9969</v>
      </c>
      <c r="F52" s="8">
        <v>0.9867</v>
      </c>
      <c r="G52" s="9">
        <f t="shared" si="9"/>
        <v>0.991325</v>
      </c>
      <c r="H52" s="9">
        <f t="shared" si="10"/>
        <v>0.004224038352</v>
      </c>
    </row>
    <row r="53">
      <c r="A53" s="6">
        <v>40.0</v>
      </c>
      <c r="B53" s="7"/>
      <c r="C53" s="8">
        <v>0.9914</v>
      </c>
      <c r="D53" s="8">
        <v>0.9903</v>
      </c>
      <c r="E53" s="8">
        <v>0.9969</v>
      </c>
      <c r="F53" s="8">
        <v>0.9867</v>
      </c>
      <c r="G53" s="9">
        <f t="shared" si="9"/>
        <v>0.991325</v>
      </c>
      <c r="H53" s="9">
        <f t="shared" si="10"/>
        <v>0.004224038352</v>
      </c>
    </row>
    <row r="54">
      <c r="A54" s="6">
        <v>50.0</v>
      </c>
      <c r="B54" s="7"/>
      <c r="C54" s="8">
        <v>0.9914</v>
      </c>
      <c r="D54" s="8">
        <v>0.9903</v>
      </c>
      <c r="E54" s="8">
        <v>0.9969</v>
      </c>
      <c r="F54" s="8">
        <v>0.9867</v>
      </c>
      <c r="G54" s="9">
        <f t="shared" si="9"/>
        <v>0.991325</v>
      </c>
      <c r="H54" s="9">
        <f t="shared" si="10"/>
        <v>0.004224038352</v>
      </c>
    </row>
    <row r="55">
      <c r="A55" s="6">
        <v>60.0</v>
      </c>
      <c r="B55" s="7"/>
      <c r="C55" s="8">
        <v>0.9951</v>
      </c>
      <c r="D55" s="8">
        <v>0.9903</v>
      </c>
      <c r="E55" s="8">
        <v>0.9969</v>
      </c>
      <c r="F55" s="8">
        <v>0.9867</v>
      </c>
      <c r="G55" s="9">
        <f t="shared" si="9"/>
        <v>0.99225</v>
      </c>
      <c r="H55" s="9">
        <f t="shared" si="10"/>
        <v>0.004631414471</v>
      </c>
    </row>
    <row r="56">
      <c r="A56" s="6"/>
      <c r="B56" s="7"/>
      <c r="C56" s="20"/>
      <c r="D56" s="20"/>
      <c r="E56" s="21"/>
      <c r="F56" s="20"/>
      <c r="G56" s="10"/>
      <c r="H56" s="10"/>
    </row>
    <row r="57">
      <c r="A57" s="12" t="s">
        <v>8</v>
      </c>
      <c r="B57" s="7"/>
      <c r="C57" s="22">
        <v>4.0</v>
      </c>
      <c r="D57" s="22">
        <v>1.0</v>
      </c>
      <c r="E57" s="22">
        <v>1.0</v>
      </c>
      <c r="F57" s="22">
        <v>1.0</v>
      </c>
      <c r="G57" s="10"/>
      <c r="H57" s="10"/>
    </row>
    <row r="58">
      <c r="A58" s="1"/>
      <c r="B58" s="1"/>
      <c r="C58" s="1"/>
      <c r="D58" s="1"/>
      <c r="E58" s="1"/>
      <c r="F58" s="1"/>
      <c r="G58" s="1"/>
      <c r="H58" s="1"/>
    </row>
    <row r="59">
      <c r="A59" s="1"/>
      <c r="B59" s="1"/>
      <c r="C59" s="1"/>
      <c r="D59" s="1"/>
      <c r="E59" s="1"/>
      <c r="F59" s="1"/>
      <c r="G59" s="1"/>
      <c r="H59" s="1"/>
    </row>
    <row r="60">
      <c r="A60" s="17"/>
      <c r="B60" s="17"/>
      <c r="C60" s="4" t="s">
        <v>25</v>
      </c>
      <c r="D60" s="4" t="s">
        <v>26</v>
      </c>
      <c r="E60" s="4" t="s">
        <v>27</v>
      </c>
      <c r="F60" s="4" t="s">
        <v>28</v>
      </c>
      <c r="G60" s="3" t="s">
        <v>4</v>
      </c>
      <c r="H60" s="3" t="s">
        <v>5</v>
      </c>
    </row>
    <row r="61">
      <c r="A61" s="4" t="s">
        <v>6</v>
      </c>
      <c r="B61" s="3" t="s">
        <v>7</v>
      </c>
      <c r="C61" s="17"/>
      <c r="D61" s="18"/>
      <c r="E61" s="17"/>
      <c r="F61" s="17"/>
      <c r="G61" s="2"/>
      <c r="H61" s="26"/>
    </row>
    <row r="62">
      <c r="A62" s="6">
        <v>25.0</v>
      </c>
      <c r="B62" s="7"/>
      <c r="C62" s="8">
        <v>0.97</v>
      </c>
      <c r="D62" s="8">
        <v>0.9908</v>
      </c>
      <c r="E62" s="8">
        <v>1.0</v>
      </c>
      <c r="F62" s="8">
        <v>0.9901</v>
      </c>
      <c r="G62" s="9">
        <f t="shared" ref="G62:G67" si="11">(C62+D62+E62+F62)/4</f>
        <v>0.987725</v>
      </c>
      <c r="H62" s="9">
        <f t="shared" ref="H62:H67" si="12">STDEV(C62:F62)</f>
        <v>0.01264841887</v>
      </c>
    </row>
    <row r="63">
      <c r="A63" s="6">
        <v>30.0</v>
      </c>
      <c r="B63" s="7"/>
      <c r="C63" s="8">
        <v>0.97</v>
      </c>
      <c r="D63" s="8">
        <v>0.9908</v>
      </c>
      <c r="E63" s="8">
        <v>1.0</v>
      </c>
      <c r="F63" s="8">
        <v>0.9901</v>
      </c>
      <c r="G63" s="9">
        <f t="shared" si="11"/>
        <v>0.987725</v>
      </c>
      <c r="H63" s="9">
        <f t="shared" si="12"/>
        <v>0.01264841887</v>
      </c>
    </row>
    <row r="64">
      <c r="A64" s="6">
        <v>35.0</v>
      </c>
      <c r="B64" s="7"/>
      <c r="C64" s="8">
        <v>0.97</v>
      </c>
      <c r="D64" s="8">
        <v>0.9908</v>
      </c>
      <c r="E64" s="8">
        <v>1.0</v>
      </c>
      <c r="F64" s="8">
        <v>0.9901</v>
      </c>
      <c r="G64" s="9">
        <f t="shared" si="11"/>
        <v>0.987725</v>
      </c>
      <c r="H64" s="9">
        <f t="shared" si="12"/>
        <v>0.01264841887</v>
      </c>
    </row>
    <row r="65">
      <c r="A65" s="6">
        <v>40.0</v>
      </c>
      <c r="B65" s="7"/>
      <c r="C65" s="8">
        <v>0.9729</v>
      </c>
      <c r="D65" s="8">
        <v>0.9908</v>
      </c>
      <c r="E65" s="8">
        <v>1.0</v>
      </c>
      <c r="F65" s="8">
        <v>0.9901</v>
      </c>
      <c r="G65" s="9">
        <f t="shared" si="11"/>
        <v>0.98845</v>
      </c>
      <c r="H65" s="9">
        <f t="shared" si="12"/>
        <v>0.01130560333</v>
      </c>
    </row>
    <row r="66">
      <c r="A66" s="6">
        <v>50.0</v>
      </c>
      <c r="B66" s="7"/>
      <c r="C66" s="8">
        <v>0.9729</v>
      </c>
      <c r="D66" s="8">
        <v>0.9908</v>
      </c>
      <c r="E66" s="8">
        <v>1.0</v>
      </c>
      <c r="F66" s="8">
        <v>0.9901</v>
      </c>
      <c r="G66" s="9">
        <f t="shared" si="11"/>
        <v>0.98845</v>
      </c>
      <c r="H66" s="9">
        <f t="shared" si="12"/>
        <v>0.01130560333</v>
      </c>
    </row>
    <row r="67">
      <c r="A67" s="6">
        <v>60.0</v>
      </c>
      <c r="B67" s="7"/>
      <c r="C67" s="8">
        <v>0.9729</v>
      </c>
      <c r="D67" s="8">
        <v>0.9908</v>
      </c>
      <c r="E67" s="8">
        <v>1.0</v>
      </c>
      <c r="F67" s="8">
        <v>0.9901</v>
      </c>
      <c r="G67" s="9">
        <f t="shared" si="11"/>
        <v>0.98845</v>
      </c>
      <c r="H67" s="9">
        <f t="shared" si="12"/>
        <v>0.01130560333</v>
      </c>
    </row>
    <row r="68">
      <c r="A68" s="6"/>
      <c r="B68" s="7"/>
      <c r="C68" s="20"/>
      <c r="D68" s="20"/>
      <c r="E68" s="21"/>
      <c r="F68" s="20"/>
      <c r="G68" s="9"/>
      <c r="H68" s="10"/>
    </row>
    <row r="69">
      <c r="A69" s="12" t="s">
        <v>8</v>
      </c>
      <c r="B69" s="7"/>
      <c r="C69" s="22">
        <v>14.0</v>
      </c>
      <c r="D69" s="22">
        <v>1.0</v>
      </c>
      <c r="E69" s="22">
        <v>0.0</v>
      </c>
      <c r="F69" s="22">
        <v>1.0</v>
      </c>
      <c r="G69" s="10"/>
      <c r="H69" s="10"/>
    </row>
    <row r="70">
      <c r="A70" s="1"/>
      <c r="B70" s="1"/>
      <c r="C70" s="1"/>
      <c r="D70" s="1"/>
      <c r="E70" s="1"/>
      <c r="F70" s="1"/>
      <c r="G70" s="1"/>
      <c r="H70" s="1"/>
    </row>
    <row r="71">
      <c r="A71" s="1"/>
      <c r="B71" s="1"/>
      <c r="C71" s="1"/>
      <c r="D71" s="1"/>
      <c r="E71" s="1"/>
      <c r="F71" s="1"/>
      <c r="G71" s="1"/>
      <c r="H71" s="1"/>
    </row>
    <row r="72">
      <c r="A72" s="17"/>
      <c r="B72" s="17"/>
      <c r="C72" s="4" t="s">
        <v>29</v>
      </c>
      <c r="D72" s="4" t="s">
        <v>30</v>
      </c>
      <c r="E72" s="4" t="s">
        <v>31</v>
      </c>
      <c r="F72" s="4" t="s">
        <v>32</v>
      </c>
      <c r="G72" s="3" t="s">
        <v>4</v>
      </c>
      <c r="H72" s="3" t="s">
        <v>5</v>
      </c>
    </row>
    <row r="73">
      <c r="A73" s="4" t="s">
        <v>6</v>
      </c>
      <c r="B73" s="3" t="s">
        <v>7</v>
      </c>
      <c r="C73" s="17"/>
      <c r="D73" s="18"/>
      <c r="E73" s="17"/>
      <c r="F73" s="17"/>
      <c r="G73" s="2"/>
      <c r="H73" s="2"/>
    </row>
    <row r="74">
      <c r="A74" s="6">
        <v>25.0</v>
      </c>
      <c r="B74" s="7"/>
      <c r="C74" s="8">
        <v>0.1389</v>
      </c>
      <c r="D74" s="8">
        <v>0.0539</v>
      </c>
      <c r="E74" s="8">
        <v>0.0951</v>
      </c>
      <c r="F74" s="8">
        <v>0.0486</v>
      </c>
      <c r="G74" s="9">
        <f t="shared" ref="G74:G79" si="13">(C74+D74+E74+F74)/4</f>
        <v>0.084125</v>
      </c>
      <c r="H74" s="9">
        <f t="shared" ref="H74:H79" si="14">STDEV(C74:F74)</f>
        <v>0.04201716911</v>
      </c>
    </row>
    <row r="75">
      <c r="A75" s="6">
        <v>30.0</v>
      </c>
      <c r="B75" s="7"/>
      <c r="C75" s="8">
        <v>0.151</v>
      </c>
      <c r="D75" s="8">
        <v>0.0677</v>
      </c>
      <c r="E75" s="8">
        <v>0.1053</v>
      </c>
      <c r="F75" s="8">
        <v>0.0567</v>
      </c>
      <c r="G75" s="9">
        <f t="shared" si="13"/>
        <v>0.095175</v>
      </c>
      <c r="H75" s="9">
        <f t="shared" si="14"/>
        <v>0.04263858777</v>
      </c>
    </row>
    <row r="76">
      <c r="A76" s="6">
        <v>35.0</v>
      </c>
      <c r="B76" s="7"/>
      <c r="C76" s="8">
        <v>0.1702</v>
      </c>
      <c r="D76" s="8">
        <v>0.0677</v>
      </c>
      <c r="E76" s="8">
        <v>0.1222</v>
      </c>
      <c r="F76" s="8">
        <v>0.0567</v>
      </c>
      <c r="G76" s="9">
        <f t="shared" si="13"/>
        <v>0.1042</v>
      </c>
      <c r="H76" s="9">
        <f t="shared" si="14"/>
        <v>0.05249920634</v>
      </c>
    </row>
    <row r="77">
      <c r="A77" s="6">
        <v>40.0</v>
      </c>
      <c r="B77" s="7"/>
      <c r="C77" s="8">
        <v>0.1916</v>
      </c>
      <c r="D77" s="8">
        <v>0.0854</v>
      </c>
      <c r="E77" s="8">
        <v>0.1528</v>
      </c>
      <c r="F77" s="8">
        <v>0.0729</v>
      </c>
      <c r="G77" s="9">
        <f t="shared" si="13"/>
        <v>0.125675</v>
      </c>
      <c r="H77" s="9">
        <f t="shared" si="14"/>
        <v>0.05624099187</v>
      </c>
    </row>
    <row r="78">
      <c r="A78" s="6">
        <v>50.0</v>
      </c>
      <c r="B78" s="7"/>
      <c r="C78" s="8">
        <v>0.2293</v>
      </c>
      <c r="D78" s="8">
        <v>0.1257</v>
      </c>
      <c r="E78" s="8">
        <v>0.1868</v>
      </c>
      <c r="F78" s="8">
        <v>0.1336</v>
      </c>
      <c r="G78" s="9">
        <f t="shared" si="13"/>
        <v>0.16885</v>
      </c>
      <c r="H78" s="9">
        <f t="shared" si="14"/>
        <v>0.0485828845</v>
      </c>
    </row>
    <row r="79">
      <c r="A79" s="6">
        <v>60.0</v>
      </c>
      <c r="B79" s="7"/>
      <c r="C79" s="8">
        <v>0.2963</v>
      </c>
      <c r="D79" s="8">
        <v>0.1311</v>
      </c>
      <c r="E79" s="8">
        <v>0.1935</v>
      </c>
      <c r="F79" s="8">
        <v>0.1336</v>
      </c>
      <c r="G79" s="9">
        <f t="shared" si="13"/>
        <v>0.188625</v>
      </c>
      <c r="H79" s="9">
        <f t="shared" si="14"/>
        <v>0.0773618069</v>
      </c>
    </row>
    <row r="80">
      <c r="A80" s="6"/>
      <c r="B80" s="7"/>
      <c r="C80" s="20"/>
      <c r="D80" s="20"/>
      <c r="E80" s="21"/>
      <c r="F80" s="20"/>
      <c r="G80" s="10"/>
      <c r="H80" s="10"/>
    </row>
    <row r="81">
      <c r="A81" s="12" t="s">
        <v>8</v>
      </c>
      <c r="B81" s="7"/>
      <c r="C81" s="23">
        <v>1044.0</v>
      </c>
      <c r="D81" s="23">
        <v>241.0</v>
      </c>
      <c r="E81" s="23">
        <v>299.0</v>
      </c>
      <c r="F81" s="22">
        <v>290.0</v>
      </c>
      <c r="G81" s="10"/>
      <c r="H81" s="10"/>
    </row>
    <row r="82">
      <c r="A82" s="1"/>
      <c r="B82" s="1"/>
      <c r="C82" s="1"/>
      <c r="D82" s="1"/>
      <c r="E82" s="1"/>
      <c r="F82" s="1"/>
      <c r="G82" s="1"/>
      <c r="H82" s="1"/>
    </row>
    <row r="83">
      <c r="A83" s="1"/>
      <c r="B83" s="1"/>
      <c r="C83" s="1"/>
      <c r="D83" s="1"/>
      <c r="E83" s="1"/>
      <c r="F83" s="1"/>
      <c r="G83" s="1"/>
      <c r="H83" s="1"/>
    </row>
    <row r="84">
      <c r="A84" s="17"/>
      <c r="B84" s="17"/>
      <c r="C84" s="4" t="s">
        <v>33</v>
      </c>
      <c r="D84" s="4" t="s">
        <v>34</v>
      </c>
      <c r="E84" s="4" t="s">
        <v>35</v>
      </c>
      <c r="F84" s="4" t="s">
        <v>36</v>
      </c>
      <c r="G84" s="3" t="s">
        <v>4</v>
      </c>
      <c r="H84" s="3" t="s">
        <v>37</v>
      </c>
    </row>
    <row r="85">
      <c r="A85" s="17"/>
      <c r="B85" s="3" t="s">
        <v>7</v>
      </c>
      <c r="C85" s="17"/>
      <c r="D85" s="18"/>
      <c r="E85" s="17"/>
      <c r="F85" s="17"/>
      <c r="G85" s="2"/>
      <c r="H85" s="2"/>
    </row>
    <row r="86">
      <c r="A86" s="6">
        <v>25.0</v>
      </c>
      <c r="B86" s="7"/>
      <c r="C86" s="8">
        <v>0.936</v>
      </c>
      <c r="D86" s="8">
        <v>0.8466</v>
      </c>
      <c r="E86" s="8">
        <v>0.8966</v>
      </c>
      <c r="F86" s="27">
        <v>0.8521</v>
      </c>
      <c r="G86" s="9">
        <f t="shared" ref="G86:G91" si="15">(C86+D86+E86+F86)/4</f>
        <v>0.882825</v>
      </c>
      <c r="H86" s="9">
        <f t="shared" ref="H86:H91" si="16">STDEV(C86:F86)</f>
        <v>0.04192695036</v>
      </c>
    </row>
    <row r="87">
      <c r="A87" s="6">
        <v>30.0</v>
      </c>
      <c r="B87" s="7"/>
      <c r="C87" s="8">
        <v>0.9994</v>
      </c>
      <c r="D87" s="8">
        <v>0.9841</v>
      </c>
      <c r="E87" s="8">
        <v>0.9885</v>
      </c>
      <c r="F87" s="8">
        <v>0.9822</v>
      </c>
      <c r="G87" s="9">
        <f t="shared" si="15"/>
        <v>0.98855</v>
      </c>
      <c r="H87" s="9">
        <f t="shared" si="16"/>
        <v>0.007699567087</v>
      </c>
    </row>
    <row r="88">
      <c r="A88" s="6">
        <v>35.0</v>
      </c>
      <c r="B88" s="7"/>
      <c r="C88" s="8">
        <v>0.9994</v>
      </c>
      <c r="D88" s="8">
        <v>0.9841</v>
      </c>
      <c r="E88" s="8">
        <v>0.9885</v>
      </c>
      <c r="F88" s="8">
        <v>0.9822</v>
      </c>
      <c r="G88" s="9">
        <f t="shared" si="15"/>
        <v>0.98855</v>
      </c>
      <c r="H88" s="9">
        <f t="shared" si="16"/>
        <v>0.007699567087</v>
      </c>
      <c r="J88" s="28"/>
    </row>
    <row r="89">
      <c r="A89" s="6">
        <v>40.0</v>
      </c>
      <c r="B89" s="7"/>
      <c r="C89" s="8">
        <v>0.9994</v>
      </c>
      <c r="D89" s="8">
        <v>0.9841</v>
      </c>
      <c r="E89" s="8">
        <v>0.9885</v>
      </c>
      <c r="F89" s="8">
        <v>0.9822</v>
      </c>
      <c r="G89" s="9">
        <f t="shared" si="15"/>
        <v>0.98855</v>
      </c>
      <c r="H89" s="9">
        <f t="shared" si="16"/>
        <v>0.007699567087</v>
      </c>
    </row>
    <row r="90">
      <c r="A90" s="6">
        <v>50.0</v>
      </c>
      <c r="B90" s="7"/>
      <c r="C90" s="8">
        <v>0.9994</v>
      </c>
      <c r="D90" s="8">
        <v>0.9841</v>
      </c>
      <c r="E90" s="8">
        <v>0.9885</v>
      </c>
      <c r="F90" s="8">
        <v>0.9822</v>
      </c>
      <c r="G90" s="9">
        <f t="shared" si="15"/>
        <v>0.98855</v>
      </c>
      <c r="H90" s="9">
        <f t="shared" si="16"/>
        <v>0.007699567087</v>
      </c>
    </row>
    <row r="91">
      <c r="A91" s="6">
        <v>60.0</v>
      </c>
      <c r="B91" s="7"/>
      <c r="C91" s="8">
        <v>0.9994</v>
      </c>
      <c r="D91" s="8">
        <v>0.9841</v>
      </c>
      <c r="E91" s="8">
        <v>0.9885</v>
      </c>
      <c r="F91" s="8">
        <v>0.9822</v>
      </c>
      <c r="G91" s="9">
        <f t="shared" si="15"/>
        <v>0.98855</v>
      </c>
      <c r="H91" s="9">
        <f t="shared" si="16"/>
        <v>0.007699567087</v>
      </c>
    </row>
    <row r="92">
      <c r="A92" s="6"/>
      <c r="B92" s="7"/>
      <c r="C92" s="20"/>
      <c r="D92" s="20"/>
      <c r="E92" s="21"/>
      <c r="F92" s="20"/>
      <c r="G92" s="10"/>
      <c r="H92" s="10"/>
    </row>
    <row r="93">
      <c r="A93" s="12" t="s">
        <v>8</v>
      </c>
      <c r="B93" s="7"/>
      <c r="C93" s="23">
        <v>1.0</v>
      </c>
      <c r="D93" s="23">
        <v>2.0</v>
      </c>
      <c r="E93" s="23">
        <v>2.0</v>
      </c>
      <c r="F93" s="23">
        <v>2.0</v>
      </c>
      <c r="G93" s="10"/>
      <c r="H93" s="10"/>
    </row>
    <row r="96">
      <c r="A96" s="29" t="s">
        <v>38</v>
      </c>
      <c r="B96" s="30"/>
      <c r="C96" s="31"/>
    </row>
    <row r="97">
      <c r="A97" s="32" t="s">
        <v>39</v>
      </c>
      <c r="B97" s="32" t="s">
        <v>40</v>
      </c>
      <c r="C97" s="32" t="s">
        <v>41</v>
      </c>
    </row>
    <row r="98">
      <c r="A98" s="33">
        <v>25.0</v>
      </c>
      <c r="B98" s="34">
        <f t="shared" ref="B98:B103" si="17">AVERAGE(C86:F86,C62:F62,C50:F50,C38:F38,C26:F26,C15:F15,C4:F4)</f>
        <v>0.6785071429</v>
      </c>
      <c r="C98" s="34">
        <f t="shared" ref="C98:C103" si="18">STDEV(C86:F86,C62:F62,C50:F50,C38:F38,C26:F26,C15:F15,C4:F4)</f>
        <v>0.336078604</v>
      </c>
    </row>
    <row r="99">
      <c r="A99" s="33">
        <v>30.0</v>
      </c>
      <c r="B99" s="34">
        <f t="shared" si="17"/>
        <v>0.888225</v>
      </c>
      <c r="C99" s="34">
        <f t="shared" si="18"/>
        <v>0.1932084436</v>
      </c>
    </row>
    <row r="100">
      <c r="A100" s="33">
        <v>35.0</v>
      </c>
      <c r="B100" s="34">
        <f t="shared" si="17"/>
        <v>0.9485964286</v>
      </c>
      <c r="C100" s="34">
        <f t="shared" si="18"/>
        <v>0.06950614405</v>
      </c>
    </row>
    <row r="101">
      <c r="A101" s="33">
        <v>40.0</v>
      </c>
      <c r="B101" s="34">
        <f t="shared" si="17"/>
        <v>0.9580607143</v>
      </c>
      <c r="C101" s="34">
        <f t="shared" si="18"/>
        <v>0.0585297097</v>
      </c>
    </row>
    <row r="102">
      <c r="A102" s="33">
        <v>50.0</v>
      </c>
      <c r="B102" s="34">
        <f t="shared" si="17"/>
        <v>0.9613928571</v>
      </c>
      <c r="C102" s="34">
        <f t="shared" si="18"/>
        <v>0.05243126667</v>
      </c>
    </row>
    <row r="103">
      <c r="A103" s="33">
        <v>60.0</v>
      </c>
      <c r="B103" s="34">
        <f t="shared" si="17"/>
        <v>0.9653107143</v>
      </c>
      <c r="C103" s="34">
        <f t="shared" si="18"/>
        <v>0.04237316009</v>
      </c>
    </row>
  </sheetData>
  <mergeCells count="1">
    <mergeCell ref="A96:C9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35" t="s">
        <v>42</v>
      </c>
      <c r="L2" s="35" t="s">
        <v>43</v>
      </c>
    </row>
    <row r="28">
      <c r="C28" s="35" t="s">
        <v>44</v>
      </c>
      <c r="L28" s="35" t="s">
        <v>45</v>
      </c>
    </row>
  </sheetData>
  <drawing r:id="rId1"/>
</worksheet>
</file>